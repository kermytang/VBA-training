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MA路歹行\作業們\"/>
    </mc:Choice>
  </mc:AlternateContent>
  <xr:revisionPtr revIDLastSave="0" documentId="13_ncr:1_{58CE85D2-48D9-4A5E-86D8-9CE9C8EF0753}" xr6:coauthVersionLast="36" xr6:coauthVersionMax="36" xr10:uidLastSave="{00000000-0000-0000-0000-000000000000}"/>
  <bookViews>
    <workbookView xWindow="0" yWindow="0" windowWidth="20490" windowHeight="7170" xr2:uid="{66B85358-4A16-4AF3-9B6E-E2633D1C7C1A}"/>
  </bookViews>
  <sheets>
    <sheet name="工作表1" sheetId="1" r:id="rId1"/>
  </sheets>
  <functionGroups builtInGroupCount="19"/>
  <externalReferences>
    <externalReference r:id="rId2"/>
  </externalReferences>
  <definedNames>
    <definedName name="S">工作表1!$B$1</definedName>
    <definedName name="T">工作表1!$B$2</definedName>
  </definedName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7" i="1" l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D19" i="1"/>
  <c r="F18" i="1" s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G18" i="1"/>
  <c r="D18" i="1"/>
  <c r="E18" i="1"/>
  <c r="C18" i="1"/>
  <c r="B1" i="1"/>
  <c r="F13" i="1"/>
  <c r="F12" i="1"/>
  <c r="F11" i="1"/>
  <c r="F10" i="1"/>
  <c r="F9" i="1"/>
  <c r="F8" i="1"/>
  <c r="L7" i="1"/>
  <c r="G8" i="1"/>
  <c r="G12" i="1"/>
  <c r="G9" i="1"/>
  <c r="G13" i="1"/>
  <c r="G10" i="1"/>
  <c r="G11" i="1"/>
  <c r="I8" i="1"/>
  <c r="I12" i="1"/>
  <c r="I11" i="1"/>
  <c r="I9" i="1"/>
  <c r="I13" i="1"/>
  <c r="I10" i="1"/>
  <c r="E8" i="1"/>
  <c r="E12" i="1"/>
  <c r="E11" i="1"/>
  <c r="E9" i="1"/>
  <c r="E13" i="1"/>
  <c r="E10" i="1"/>
  <c r="E7" i="1"/>
  <c r="J8" i="1"/>
  <c r="J12" i="1"/>
  <c r="J9" i="1"/>
  <c r="J13" i="1"/>
  <c r="J10" i="1"/>
  <c r="J11" i="1"/>
  <c r="J7" i="1"/>
  <c r="I7" i="1"/>
  <c r="H8" i="1"/>
  <c r="H12" i="1"/>
  <c r="H9" i="1"/>
  <c r="H13" i="1"/>
  <c r="H10" i="1"/>
  <c r="H11" i="1"/>
  <c r="H7" i="1"/>
  <c r="G7" i="1"/>
  <c r="G14" i="1" l="1"/>
  <c r="K9" i="1"/>
  <c r="K8" i="1"/>
  <c r="K10" i="1"/>
  <c r="K11" i="1"/>
  <c r="K12" i="1"/>
  <c r="K13" i="1"/>
  <c r="K7" i="1"/>
  <c r="L11" i="1"/>
  <c r="L9" i="1"/>
  <c r="L13" i="1"/>
  <c r="L8" i="1"/>
  <c r="L10" i="1"/>
  <c r="L12" i="1"/>
  <c r="K14" i="1" l="1"/>
  <c r="F2" i="1" s="1"/>
  <c r="D2" i="1" l="1"/>
  <c r="H14" i="1"/>
  <c r="E2" i="1" s="1"/>
</calcChain>
</file>

<file path=xl/sharedStrings.xml><?xml version="1.0" encoding="utf-8"?>
<sst xmlns="http://schemas.openxmlformats.org/spreadsheetml/2006/main" count="28" uniqueCount="24">
  <si>
    <t>S</t>
    <phoneticPr fontId="2" type="noConversion"/>
  </si>
  <si>
    <t>T</t>
    <phoneticPr fontId="2" type="noConversion"/>
  </si>
  <si>
    <t>r</t>
    <phoneticPr fontId="2" type="noConversion"/>
  </si>
  <si>
    <t>T Delta</t>
    <phoneticPr fontId="2" type="noConversion"/>
  </si>
  <si>
    <t>T Gamma</t>
    <phoneticPr fontId="2" type="noConversion"/>
  </si>
  <si>
    <t>T PL</t>
    <phoneticPr fontId="2" type="noConversion"/>
  </si>
  <si>
    <t>Option</t>
    <phoneticPr fontId="2" type="noConversion"/>
  </si>
  <si>
    <t>K</t>
    <phoneticPr fontId="2" type="noConversion"/>
  </si>
  <si>
    <t>Lots</t>
    <phoneticPr fontId="2" type="noConversion"/>
  </si>
  <si>
    <t>Cost</t>
    <phoneticPr fontId="2" type="noConversion"/>
  </si>
  <si>
    <t>Mkt.Price</t>
    <phoneticPr fontId="2" type="noConversion"/>
  </si>
  <si>
    <t>Theory.Price</t>
    <phoneticPr fontId="2" type="noConversion"/>
  </si>
  <si>
    <t>Delta</t>
    <phoneticPr fontId="2" type="noConversion"/>
  </si>
  <si>
    <t>Gamma</t>
    <phoneticPr fontId="2" type="noConversion"/>
  </si>
  <si>
    <t>PL</t>
    <phoneticPr fontId="2" type="noConversion"/>
  </si>
  <si>
    <t>Imp.Vol.</t>
    <phoneticPr fontId="2" type="noConversion"/>
  </si>
  <si>
    <t>His.Vol.</t>
    <phoneticPr fontId="2" type="noConversion"/>
  </si>
  <si>
    <t>Future</t>
    <phoneticPr fontId="2" type="noConversion"/>
  </si>
  <si>
    <t>Price</t>
    <phoneticPr fontId="2" type="noConversion"/>
  </si>
  <si>
    <t>F_Delta</t>
    <phoneticPr fontId="2" type="noConversion"/>
  </si>
  <si>
    <t>F_PL</t>
    <phoneticPr fontId="2" type="noConversion"/>
  </si>
  <si>
    <t>C(1)/P(0)</t>
    <phoneticPr fontId="2" type="noConversion"/>
  </si>
  <si>
    <t>Theta</t>
    <phoneticPr fontId="2" type="noConversion"/>
  </si>
  <si>
    <t>Vega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</si>
</sst>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6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b/>
      <sz val="12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17">
    <xf numFmtId="0" fontId="0" fillId="0" borderId="0" xfId="0">
      <alignment vertical="center"/>
    </xf>
    <xf numFmtId="9" fontId="0" fillId="0" borderId="0" xfId="0" applyNumberFormat="1">
      <alignment vertical="center"/>
    </xf>
    <xf numFmtId="0" fontId="3" fillId="0" borderId="0" xfId="0" applyFont="1" applyFill="1">
      <alignment vertical="center"/>
    </xf>
    <xf numFmtId="0" fontId="0" fillId="0" borderId="0" xfId="0" applyFill="1">
      <alignment vertical="center"/>
    </xf>
    <xf numFmtId="0" fontId="4" fillId="0" borderId="0" xfId="0" applyFont="1" applyFill="1">
      <alignment vertical="center"/>
    </xf>
    <xf numFmtId="0" fontId="3" fillId="2" borderId="0" xfId="0" applyFont="1" applyFill="1">
      <alignment vertical="center"/>
    </xf>
    <xf numFmtId="0" fontId="5" fillId="0" borderId="0" xfId="0" applyFont="1" applyFill="1">
      <alignment vertical="center"/>
    </xf>
    <xf numFmtId="176" fontId="0" fillId="0" borderId="0" xfId="0" applyNumberFormat="1" applyFill="1">
      <alignment vertical="center"/>
    </xf>
    <xf numFmtId="2" fontId="0" fillId="0" borderId="0" xfId="0" applyNumberFormat="1" applyFill="1">
      <alignment vertical="center"/>
    </xf>
    <xf numFmtId="10" fontId="0" fillId="0" borderId="0" xfId="0" applyNumberFormat="1" applyFill="1">
      <alignment vertical="center"/>
    </xf>
    <xf numFmtId="10" fontId="0" fillId="0" borderId="0" xfId="1" applyNumberFormat="1" applyFont="1" applyFill="1">
      <alignment vertical="center"/>
    </xf>
    <xf numFmtId="176" fontId="0" fillId="0" borderId="0" xfId="0" applyNumberFormat="1">
      <alignment vertical="center"/>
    </xf>
    <xf numFmtId="1" fontId="0" fillId="0" borderId="0" xfId="0" applyNumberFormat="1">
      <alignment vertical="center"/>
    </xf>
    <xf numFmtId="0" fontId="0" fillId="0" borderId="0" xfId="0" applyFill="1" applyBorder="1">
      <alignment vertical="center"/>
    </xf>
    <xf numFmtId="10" fontId="0" fillId="0" borderId="0" xfId="1" applyNumberFormat="1" applyFont="1" applyFill="1" applyBorder="1">
      <alignment vertical="center"/>
    </xf>
    <xf numFmtId="0" fontId="0" fillId="0" borderId="1" xfId="0" applyFill="1" applyBorder="1">
      <alignment vertical="center"/>
    </xf>
    <xf numFmtId="176" fontId="0" fillId="0" borderId="1" xfId="0" applyNumberFormat="1" applyFill="1" applyBorder="1">
      <alignment vertical="center"/>
    </xf>
  </cellXfs>
  <cellStyles count="2">
    <cellStyle name="一般" xfId="0" builtinId="0"/>
    <cellStyle name="百分比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YES" ddeTopic="DQ">
    <ddeItems>
      <ddeItem name="StdDocumentName" ole="1" advise="1"/>
      <ddeItem name="TXFI8.Price" advise="1">
        <values>
          <value>
            <val>10823</val>
          </value>
        </values>
      </ddeItem>
      <ddeItem name="TXO10650U8.Price" advise="1">
        <values>
          <value>
            <val>4.3</val>
          </value>
        </values>
      </ddeItem>
      <ddeItem name="TXO10700U8.Price" advise="1">
        <values>
          <value>
            <val>8.1</val>
          </value>
        </values>
      </ddeItem>
      <ddeItem name="TXO10750U8.Price" advise="1">
        <values>
          <value>
            <val>15.5</val>
          </value>
        </values>
      </ddeItem>
      <ddeItem name="TXO10800U8.Price" advise="1">
        <values>
          <value>
            <val>29.5</val>
          </value>
        </values>
      </ddeItem>
      <ddeItem name="TXO10850I8.Price" advise="1">
        <values>
          <value>
            <val>27</val>
          </value>
        </values>
      </ddeItem>
      <ddeItem name="TXO10900I8.Price" advise="1">
        <values>
          <value>
            <val>12</val>
          </value>
        </values>
      </ddeItem>
      <ddeItem name="TXO10950I8.Price" advise="1">
        <values>
          <value>
            <val>4.8</val>
          </value>
        </values>
      </ddeItem>
    </ddeItems>
  </ddeLin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18DF04-8FDA-4FD8-9CF4-A6BE4E203025}">
  <sheetPr codeName="工作表1"/>
  <dimension ref="A1:M184"/>
  <sheetViews>
    <sheetView tabSelected="1" workbookViewId="0">
      <selection activeCell="E5" sqref="E5"/>
    </sheetView>
  </sheetViews>
  <sheetFormatPr defaultRowHeight="16.5" x14ac:dyDescent="0.25"/>
  <cols>
    <col min="1" max="1" width="7.875" bestFit="1" customWidth="1"/>
    <col min="2" max="2" width="10.125" bestFit="1" customWidth="1"/>
    <col min="3" max="3" width="6.5" bestFit="1" customWidth="1"/>
    <col min="4" max="4" width="8.375" bestFit="1" customWidth="1"/>
    <col min="5" max="5" width="13.625" bestFit="1" customWidth="1"/>
    <col min="6" max="6" width="10.375" bestFit="1" customWidth="1"/>
    <col min="7" max="7" width="11.75" customWidth="1"/>
    <col min="8" max="8" width="13.25" customWidth="1"/>
    <col min="9" max="9" width="10" customWidth="1"/>
    <col min="10" max="10" width="12" customWidth="1"/>
    <col min="11" max="11" width="15" customWidth="1"/>
    <col min="12" max="12" width="9.75" bestFit="1" customWidth="1"/>
    <col min="13" max="13" width="9.25" bestFit="1" customWidth="1"/>
  </cols>
  <sheetData>
    <row r="1" spans="1:13" x14ac:dyDescent="0.25">
      <c r="A1" s="5" t="s">
        <v>0</v>
      </c>
      <c r="B1" s="12">
        <f>[1]!TXFI8.Price</f>
        <v>10823</v>
      </c>
      <c r="D1" s="5" t="s">
        <v>3</v>
      </c>
      <c r="E1" s="5" t="s">
        <v>4</v>
      </c>
      <c r="F1" s="5" t="s">
        <v>5</v>
      </c>
    </row>
    <row r="2" spans="1:13" x14ac:dyDescent="0.25">
      <c r="A2" s="5" t="s">
        <v>1</v>
      </c>
      <c r="B2">
        <v>8.0000000000000002E-3</v>
      </c>
      <c r="D2" s="11">
        <f>G14+F18</f>
        <v>-4.7234746980961972E-2</v>
      </c>
      <c r="E2" s="11">
        <f>H14</f>
        <v>1.4005309803716255</v>
      </c>
      <c r="F2">
        <f>K14+G18</f>
        <v>0</v>
      </c>
    </row>
    <row r="3" spans="1:13" x14ac:dyDescent="0.25">
      <c r="A3" s="5" t="s">
        <v>2</v>
      </c>
      <c r="B3" s="1">
        <v>0.01</v>
      </c>
    </row>
    <row r="5" spans="1:13" s="3" customFormat="1" x14ac:dyDescent="0.25">
      <c r="A5" s="2" t="s">
        <v>6</v>
      </c>
    </row>
    <row r="6" spans="1:13" s="4" customFormat="1" x14ac:dyDescent="0.25">
      <c r="A6" s="4" t="s">
        <v>7</v>
      </c>
      <c r="B6" s="4" t="s">
        <v>21</v>
      </c>
      <c r="C6" s="4" t="s">
        <v>8</v>
      </c>
      <c r="D6" s="4" t="s">
        <v>9</v>
      </c>
      <c r="E6" s="4" t="s">
        <v>11</v>
      </c>
      <c r="F6" s="4" t="s">
        <v>10</v>
      </c>
      <c r="G6" s="4" t="s">
        <v>12</v>
      </c>
      <c r="H6" s="4" t="s">
        <v>13</v>
      </c>
      <c r="I6" s="4" t="s">
        <v>22</v>
      </c>
      <c r="J6" s="4" t="s">
        <v>23</v>
      </c>
      <c r="K6" s="4" t="s">
        <v>14</v>
      </c>
      <c r="L6" s="4" t="s">
        <v>15</v>
      </c>
      <c r="M6" s="4" t="s">
        <v>16</v>
      </c>
    </row>
    <row r="7" spans="1:13" s="3" customFormat="1" x14ac:dyDescent="0.25">
      <c r="A7" s="3">
        <v>10650</v>
      </c>
      <c r="B7" s="3">
        <v>0</v>
      </c>
      <c r="C7" s="3">
        <v>300</v>
      </c>
      <c r="D7" s="3">
        <v>4.3</v>
      </c>
      <c r="E7" s="8">
        <f>BS_Price(S,A7,T,M7,$B$3,B7)</f>
        <v>4.2999808242318522</v>
      </c>
      <c r="F7" s="8">
        <f>[1]!TXO10650U8.Price</f>
        <v>4.3</v>
      </c>
      <c r="G7" s="7">
        <f>Greeks_Delta(S,A7,T,L7,$B$3,B7)*C7/4</f>
        <v>-5.7774750015069296</v>
      </c>
      <c r="H7" s="7">
        <f>Greeks_Gamma(S,A7,T,L7,$B$3,B7)*C7/4</f>
        <v>8.7762666220994309E-2</v>
      </c>
      <c r="I7" s="8">
        <f>Greeks_Theta(S,A7,T,L7,$B$3,B7)/365</f>
        <v>-3.0770288147381679</v>
      </c>
      <c r="J7" s="8">
        <f>Greeks_Vega(S,A7,T,L7,$B$3,B7)</f>
        <v>139.85009972953637</v>
      </c>
      <c r="K7" s="3">
        <f>(F7-D7)*C7*50</f>
        <v>0</v>
      </c>
      <c r="L7" s="9">
        <f>Imp_Vol(S,A7,T,$B$3,F7,B7)</f>
        <v>0.12753486633300781</v>
      </c>
      <c r="M7" s="10">
        <v>0.12753486633300781</v>
      </c>
    </row>
    <row r="8" spans="1:13" s="3" customFormat="1" x14ac:dyDescent="0.25">
      <c r="A8" s="3">
        <v>10700</v>
      </c>
      <c r="B8" s="3">
        <v>0</v>
      </c>
      <c r="C8" s="3">
        <v>300</v>
      </c>
      <c r="D8" s="3">
        <v>8.1</v>
      </c>
      <c r="E8" s="8">
        <f>BS_Price(S,A8,T,M8,$B$3,B8)</f>
        <v>8.100041436530546</v>
      </c>
      <c r="F8" s="8">
        <f>[1]!TXO10700U8.Price</f>
        <v>8.1</v>
      </c>
      <c r="G8" s="7">
        <f>Greeks_Delta(S,A8,T,L8,$B$3,B8)*C8/4</f>
        <v>-10.356710675316045</v>
      </c>
      <c r="H8" s="7">
        <f>Greeks_Gamma(S,A8,T,L8,$B$3,B8)*C8/4</f>
        <v>0.14386226260983218</v>
      </c>
      <c r="I8" s="8">
        <f>Greeks_Theta(S,A8,T,L8,$B$3,B8)/365</f>
        <v>-4.3816354717388819</v>
      </c>
      <c r="J8" s="8">
        <f>Greeks_Vega(S,A8,T,L8,$B$3,B8)</f>
        <v>213.45686446963023</v>
      </c>
      <c r="K8" s="3">
        <f t="shared" ref="K8:K13" si="0">(F8-D8)*C8*50</f>
        <v>0</v>
      </c>
      <c r="L8" s="9">
        <f t="shared" ref="L7:M13" si="1">Imp_Vol(S,A8,T,$B$3,F8,B8)</f>
        <v>0.11875152587890625</v>
      </c>
      <c r="M8" s="10">
        <v>0.11875152587890625</v>
      </c>
    </row>
    <row r="9" spans="1:13" s="3" customFormat="1" x14ac:dyDescent="0.25">
      <c r="A9" s="3">
        <v>10750</v>
      </c>
      <c r="B9" s="3">
        <v>0</v>
      </c>
      <c r="C9" s="3">
        <v>300</v>
      </c>
      <c r="D9" s="3">
        <v>15.5</v>
      </c>
      <c r="E9" s="8">
        <f>BS_Price(S,A9,T,M9,$B$3,B9)</f>
        <v>15.500905068989141</v>
      </c>
      <c r="F9" s="8">
        <f>[1]!TXO10750U8.Price</f>
        <v>15.5</v>
      </c>
      <c r="G9" s="7">
        <f>Greeks_Delta(S,A9,T,L9,$B$3,B9)*C9/4</f>
        <v>-18.239622431193851</v>
      </c>
      <c r="H9" s="7">
        <f>Greeks_Gamma(S,A9,T,L9,$B$3,B9)*C9/4</f>
        <v>0.21898461968211186</v>
      </c>
      <c r="I9" s="8">
        <f>Greeks_Theta(S,A9,T,L9,$B$3,B9)/365</f>
        <v>-5.8221443351992219</v>
      </c>
      <c r="J9" s="8">
        <f>Greeks_Vega(S,A9,T,L9,$B$3,B9)</f>
        <v>303.10586781629422</v>
      </c>
      <c r="K9" s="3">
        <f>(F9-D9)*C9*50</f>
        <v>0</v>
      </c>
      <c r="L9" s="9">
        <f t="shared" si="1"/>
        <v>0.11077880859375</v>
      </c>
      <c r="M9" s="10">
        <v>0.11077880859375</v>
      </c>
    </row>
    <row r="10" spans="1:13" s="3" customFormat="1" x14ac:dyDescent="0.25">
      <c r="A10" s="3">
        <v>10800</v>
      </c>
      <c r="B10" s="3">
        <v>0</v>
      </c>
      <c r="C10" s="3">
        <v>300</v>
      </c>
      <c r="D10" s="3">
        <v>29.5</v>
      </c>
      <c r="E10" s="8">
        <f>BS_Price(S,A10,T,M10,$B$3,B10)</f>
        <v>29.500724169638488</v>
      </c>
      <c r="F10" s="8">
        <f>[1]!TXO10800U8.Price</f>
        <v>29.5</v>
      </c>
      <c r="G10" s="7">
        <f>Greeks_Delta(S,A10,T,L10,$B$3,B10)*C10/4</f>
        <v>-30.363289663618232</v>
      </c>
      <c r="H10" s="7">
        <f>Greeks_Gamma(S,A10,T,L10,$B$3,B10)*C10/4</f>
        <v>0.28731153779013824</v>
      </c>
      <c r="I10" s="8">
        <f>Greeks_Theta(S,A10,T,L10,$B$3,B10)/365</f>
        <v>-6.8340131874879546</v>
      </c>
      <c r="J10" s="8">
        <f>Greeks_Vega(S,A10,T,L10,$B$3,B10)</f>
        <v>375.15305719650559</v>
      </c>
      <c r="K10" s="3">
        <f t="shared" si="0"/>
        <v>0</v>
      </c>
      <c r="L10" s="9">
        <f t="shared" si="1"/>
        <v>0.10450363159179688</v>
      </c>
      <c r="M10" s="10">
        <v>0.10450363159179688</v>
      </c>
    </row>
    <row r="11" spans="1:13" s="3" customFormat="1" x14ac:dyDescent="0.25">
      <c r="A11" s="3">
        <v>10850</v>
      </c>
      <c r="B11" s="3">
        <v>1</v>
      </c>
      <c r="C11" s="3">
        <v>300</v>
      </c>
      <c r="D11" s="3">
        <v>27</v>
      </c>
      <c r="E11" s="8">
        <f>BS_Price(S,A11,T,M11,$B$3,B11)</f>
        <v>26.997446583919555</v>
      </c>
      <c r="F11" s="8">
        <f>[1]!TXO10850I8.Price</f>
        <v>27</v>
      </c>
      <c r="G11" s="7">
        <f>Greeks_Delta(S,A11,T,L11,$B$3,B11)*C11/4</f>
        <v>29.65868034620425</v>
      </c>
      <c r="H11" s="7">
        <f>Greeks_Gamma(S,A11,T,L11,$B$3,B11)*C11/4</f>
        <v>0.29840282935921475</v>
      </c>
      <c r="I11" s="8">
        <f>Greeks_Theta(S,A11,T,L11,$B$3,B11)/365</f>
        <v>6.5011237745152828</v>
      </c>
      <c r="J11" s="8">
        <f>Greeks_Vega(S,A11,T,L11,$B$3,B11)</f>
        <v>372.85237795495823</v>
      </c>
      <c r="K11" s="3">
        <f t="shared" si="0"/>
        <v>0</v>
      </c>
      <c r="L11" s="9">
        <f t="shared" si="1"/>
        <v>0.10000228881835938</v>
      </c>
      <c r="M11" s="10">
        <v>0.10000228881835938</v>
      </c>
    </row>
    <row r="12" spans="1:13" s="3" customFormat="1" x14ac:dyDescent="0.25">
      <c r="A12" s="3">
        <v>10900</v>
      </c>
      <c r="B12" s="3">
        <v>1</v>
      </c>
      <c r="C12" s="3">
        <v>300</v>
      </c>
      <c r="D12" s="3">
        <v>12</v>
      </c>
      <c r="E12" s="8">
        <f>BS_Price(S,A12,T,M12,$B$3,B12)</f>
        <v>11.998937697251677</v>
      </c>
      <c r="F12" s="8">
        <f>[1]!TXO10900I8.Price</f>
        <v>12</v>
      </c>
      <c r="G12" s="7">
        <f>Greeks_Delta(S,A12,T,L12,$B$3,B12)*C12/4</f>
        <v>16.333808615836283</v>
      </c>
      <c r="H12" s="7">
        <f>Greeks_Gamma(S,A12,T,L12,$B$3,B12)*C12/4</f>
        <v>0.22821721752342433</v>
      </c>
      <c r="I12" s="8">
        <f>Greeks_Theta(S,A12,T,L12,$B$3,B12)/365</f>
        <v>4.9406501978420572</v>
      </c>
      <c r="J12" s="8">
        <f>Greeks_Vega(S,A12,T,L12,$B$3,B12)</f>
        <v>284.96555858374995</v>
      </c>
      <c r="K12" s="3">
        <f t="shared" si="0"/>
        <v>0</v>
      </c>
      <c r="L12" s="9">
        <f t="shared" si="1"/>
        <v>9.9935531616210938E-2</v>
      </c>
      <c r="M12" s="10">
        <v>9.9935531616210938E-2</v>
      </c>
    </row>
    <row r="13" spans="1:13" s="3" customFormat="1" x14ac:dyDescent="0.25">
      <c r="A13" s="13">
        <v>10950</v>
      </c>
      <c r="B13" s="13">
        <v>1</v>
      </c>
      <c r="C13" s="13">
        <v>300</v>
      </c>
      <c r="D13" s="13">
        <v>4.8</v>
      </c>
      <c r="E13" s="8">
        <f>BS_Price(S,A13,T,M13,$B$3,B13)</f>
        <v>4.8000441167985173</v>
      </c>
      <c r="F13" s="8">
        <f>[1]!TXO10950I8.Price</f>
        <v>4.8</v>
      </c>
      <c r="G13" s="7">
        <f>Greeks_Delta(S,A13,T,L13,$B$3,B13)*C13/4</f>
        <v>7.6973740626135694</v>
      </c>
      <c r="H13" s="7">
        <f>Greeks_Gamma(S,A13,T,L13,$B$3,B13)*C13/4</f>
        <v>0.13598984718591001</v>
      </c>
      <c r="I13" s="8">
        <f>Greeks_Theta(S,A13,T,L13,$B$3,B13)/365</f>
        <v>3.0511307036135276</v>
      </c>
      <c r="J13" s="8">
        <f>Greeks_Vega(S,A13,T,L13,$B$3,B13)</f>
        <v>173.13497810699181</v>
      </c>
      <c r="K13" s="3">
        <f t="shared" si="0"/>
        <v>0</v>
      </c>
      <c r="L13" s="9">
        <f t="shared" si="1"/>
        <v>0.10189533233642578</v>
      </c>
      <c r="M13" s="14">
        <v>0.10189533233642578</v>
      </c>
    </row>
    <row r="14" spans="1:13" s="3" customFormat="1" x14ac:dyDescent="0.25">
      <c r="A14" s="15"/>
      <c r="B14" s="15"/>
      <c r="C14" s="15"/>
      <c r="D14" s="15"/>
      <c r="E14" s="15"/>
      <c r="F14" s="15"/>
      <c r="G14" s="16">
        <f>SUM(G7:G13)</f>
        <v>-11.047234746980962</v>
      </c>
      <c r="H14" s="16">
        <f t="shared" ref="H14" si="2">SUM(H7:H13)</f>
        <v>1.4005309803716255</v>
      </c>
      <c r="I14" s="16"/>
      <c r="J14" s="16"/>
      <c r="K14" s="15">
        <f>SUM(K7:K13)</f>
        <v>0</v>
      </c>
      <c r="L14" s="15"/>
      <c r="M14" s="15"/>
    </row>
    <row r="15" spans="1:13" s="6" customFormat="1" x14ac:dyDescent="0.25"/>
    <row r="16" spans="1:13" s="2" customFormat="1" x14ac:dyDescent="0.25">
      <c r="A16" s="2" t="s">
        <v>17</v>
      </c>
    </row>
    <row r="17" spans="1:7" s="2" customFormat="1" x14ac:dyDescent="0.25">
      <c r="A17" s="2" t="s">
        <v>8</v>
      </c>
      <c r="B17" s="2" t="s">
        <v>9</v>
      </c>
      <c r="C17" s="2" t="s">
        <v>18</v>
      </c>
      <c r="D17" s="2" t="s">
        <v>12</v>
      </c>
      <c r="E17" s="2" t="s">
        <v>14</v>
      </c>
      <c r="F17" s="2" t="s">
        <v>19</v>
      </c>
      <c r="G17" s="2" t="s">
        <v>20</v>
      </c>
    </row>
    <row r="18" spans="1:7" x14ac:dyDescent="0.25">
      <c r="A18">
        <v>11</v>
      </c>
      <c r="B18">
        <v>10823</v>
      </c>
      <c r="C18">
        <f>S</f>
        <v>10823</v>
      </c>
      <c r="D18">
        <f>A18</f>
        <v>11</v>
      </c>
      <c r="E18">
        <f>(C18-B18)*A18</f>
        <v>0</v>
      </c>
      <c r="F18">
        <f>SUM(D18:D127)</f>
        <v>11</v>
      </c>
      <c r="G18">
        <f>SUM(E18:E127)</f>
        <v>0</v>
      </c>
    </row>
    <row r="19" spans="1:7" x14ac:dyDescent="0.25">
      <c r="C19">
        <f>S</f>
        <v>10823</v>
      </c>
      <c r="D19">
        <f t="shared" ref="D19:D82" si="3">A19</f>
        <v>0</v>
      </c>
    </row>
    <row r="20" spans="1:7" x14ac:dyDescent="0.25">
      <c r="C20">
        <f>S</f>
        <v>10823</v>
      </c>
      <c r="D20">
        <f t="shared" si="3"/>
        <v>0</v>
      </c>
    </row>
    <row r="21" spans="1:7" x14ac:dyDescent="0.25">
      <c r="C21">
        <f>S</f>
        <v>10823</v>
      </c>
      <c r="D21">
        <f t="shared" si="3"/>
        <v>0</v>
      </c>
    </row>
    <row r="22" spans="1:7" x14ac:dyDescent="0.25">
      <c r="C22">
        <f>S</f>
        <v>10823</v>
      </c>
      <c r="D22">
        <f t="shared" si="3"/>
        <v>0</v>
      </c>
    </row>
    <row r="23" spans="1:7" x14ac:dyDescent="0.25">
      <c r="C23">
        <f>S</f>
        <v>10823</v>
      </c>
      <c r="D23">
        <f t="shared" si="3"/>
        <v>0</v>
      </c>
    </row>
    <row r="24" spans="1:7" x14ac:dyDescent="0.25">
      <c r="C24">
        <f>S</f>
        <v>10823</v>
      </c>
      <c r="D24">
        <f t="shared" si="3"/>
        <v>0</v>
      </c>
    </row>
    <row r="25" spans="1:7" x14ac:dyDescent="0.25">
      <c r="C25">
        <f>S</f>
        <v>10823</v>
      </c>
      <c r="D25">
        <f t="shared" si="3"/>
        <v>0</v>
      </c>
    </row>
    <row r="26" spans="1:7" x14ac:dyDescent="0.25">
      <c r="C26">
        <f>S</f>
        <v>10823</v>
      </c>
      <c r="D26">
        <f t="shared" si="3"/>
        <v>0</v>
      </c>
    </row>
    <row r="27" spans="1:7" x14ac:dyDescent="0.25">
      <c r="C27">
        <f>S</f>
        <v>10823</v>
      </c>
      <c r="D27">
        <f t="shared" si="3"/>
        <v>0</v>
      </c>
    </row>
    <row r="28" spans="1:7" x14ac:dyDescent="0.25">
      <c r="C28">
        <f>S</f>
        <v>10823</v>
      </c>
      <c r="D28">
        <f t="shared" si="3"/>
        <v>0</v>
      </c>
    </row>
    <row r="29" spans="1:7" x14ac:dyDescent="0.25">
      <c r="C29">
        <f>S</f>
        <v>10823</v>
      </c>
      <c r="D29">
        <f t="shared" si="3"/>
        <v>0</v>
      </c>
    </row>
    <row r="30" spans="1:7" x14ac:dyDescent="0.25">
      <c r="C30">
        <f>S</f>
        <v>10823</v>
      </c>
      <c r="D30">
        <f t="shared" si="3"/>
        <v>0</v>
      </c>
    </row>
    <row r="31" spans="1:7" x14ac:dyDescent="0.25">
      <c r="C31">
        <f>S</f>
        <v>10823</v>
      </c>
      <c r="D31">
        <f t="shared" si="3"/>
        <v>0</v>
      </c>
    </row>
    <row r="32" spans="1:7" x14ac:dyDescent="0.25">
      <c r="C32">
        <f>S</f>
        <v>10823</v>
      </c>
      <c r="D32">
        <f t="shared" si="3"/>
        <v>0</v>
      </c>
    </row>
    <row r="33" spans="3:4" x14ac:dyDescent="0.25">
      <c r="C33">
        <f>S</f>
        <v>10823</v>
      </c>
      <c r="D33">
        <f t="shared" si="3"/>
        <v>0</v>
      </c>
    </row>
    <row r="34" spans="3:4" x14ac:dyDescent="0.25">
      <c r="C34">
        <f>S</f>
        <v>10823</v>
      </c>
      <c r="D34">
        <f t="shared" si="3"/>
        <v>0</v>
      </c>
    </row>
    <row r="35" spans="3:4" x14ac:dyDescent="0.25">
      <c r="C35">
        <f>S</f>
        <v>10823</v>
      </c>
      <c r="D35">
        <f t="shared" si="3"/>
        <v>0</v>
      </c>
    </row>
    <row r="36" spans="3:4" x14ac:dyDescent="0.25">
      <c r="C36">
        <f>S</f>
        <v>10823</v>
      </c>
      <c r="D36">
        <f t="shared" si="3"/>
        <v>0</v>
      </c>
    </row>
    <row r="37" spans="3:4" x14ac:dyDescent="0.25">
      <c r="C37">
        <f>S</f>
        <v>10823</v>
      </c>
      <c r="D37">
        <f t="shared" si="3"/>
        <v>0</v>
      </c>
    </row>
    <row r="38" spans="3:4" x14ac:dyDescent="0.25">
      <c r="C38">
        <f>S</f>
        <v>10823</v>
      </c>
      <c r="D38">
        <f t="shared" si="3"/>
        <v>0</v>
      </c>
    </row>
    <row r="39" spans="3:4" x14ac:dyDescent="0.25">
      <c r="C39">
        <f>S</f>
        <v>10823</v>
      </c>
      <c r="D39">
        <f t="shared" si="3"/>
        <v>0</v>
      </c>
    </row>
    <row r="40" spans="3:4" x14ac:dyDescent="0.25">
      <c r="C40">
        <f>S</f>
        <v>10823</v>
      </c>
      <c r="D40">
        <f t="shared" si="3"/>
        <v>0</v>
      </c>
    </row>
    <row r="41" spans="3:4" x14ac:dyDescent="0.25">
      <c r="C41">
        <f>S</f>
        <v>10823</v>
      </c>
      <c r="D41">
        <f t="shared" si="3"/>
        <v>0</v>
      </c>
    </row>
    <row r="42" spans="3:4" x14ac:dyDescent="0.25">
      <c r="C42">
        <f>S</f>
        <v>10823</v>
      </c>
      <c r="D42">
        <f t="shared" si="3"/>
        <v>0</v>
      </c>
    </row>
    <row r="43" spans="3:4" x14ac:dyDescent="0.25">
      <c r="C43">
        <f>S</f>
        <v>10823</v>
      </c>
      <c r="D43">
        <f t="shared" si="3"/>
        <v>0</v>
      </c>
    </row>
    <row r="44" spans="3:4" x14ac:dyDescent="0.25">
      <c r="C44">
        <f>S</f>
        <v>10823</v>
      </c>
      <c r="D44">
        <f t="shared" si="3"/>
        <v>0</v>
      </c>
    </row>
    <row r="45" spans="3:4" x14ac:dyDescent="0.25">
      <c r="C45">
        <f>S</f>
        <v>10823</v>
      </c>
      <c r="D45">
        <f t="shared" si="3"/>
        <v>0</v>
      </c>
    </row>
    <row r="46" spans="3:4" x14ac:dyDescent="0.25">
      <c r="C46">
        <f>S</f>
        <v>10823</v>
      </c>
      <c r="D46">
        <f t="shared" si="3"/>
        <v>0</v>
      </c>
    </row>
    <row r="47" spans="3:4" x14ac:dyDescent="0.25">
      <c r="C47">
        <f>S</f>
        <v>10823</v>
      </c>
      <c r="D47">
        <f t="shared" si="3"/>
        <v>0</v>
      </c>
    </row>
    <row r="48" spans="3:4" x14ac:dyDescent="0.25">
      <c r="C48">
        <f>S</f>
        <v>10823</v>
      </c>
      <c r="D48">
        <f t="shared" si="3"/>
        <v>0</v>
      </c>
    </row>
    <row r="49" spans="3:4" x14ac:dyDescent="0.25">
      <c r="C49">
        <f>S</f>
        <v>10823</v>
      </c>
      <c r="D49">
        <f t="shared" si="3"/>
        <v>0</v>
      </c>
    </row>
    <row r="50" spans="3:4" x14ac:dyDescent="0.25">
      <c r="C50">
        <f>S</f>
        <v>10823</v>
      </c>
      <c r="D50">
        <f t="shared" si="3"/>
        <v>0</v>
      </c>
    </row>
    <row r="51" spans="3:4" x14ac:dyDescent="0.25">
      <c r="C51">
        <f>S</f>
        <v>10823</v>
      </c>
      <c r="D51">
        <f t="shared" si="3"/>
        <v>0</v>
      </c>
    </row>
    <row r="52" spans="3:4" x14ac:dyDescent="0.25">
      <c r="C52">
        <f>S</f>
        <v>10823</v>
      </c>
      <c r="D52">
        <f t="shared" si="3"/>
        <v>0</v>
      </c>
    </row>
    <row r="53" spans="3:4" x14ac:dyDescent="0.25">
      <c r="C53">
        <f>S</f>
        <v>10823</v>
      </c>
      <c r="D53">
        <f t="shared" si="3"/>
        <v>0</v>
      </c>
    </row>
    <row r="54" spans="3:4" x14ac:dyDescent="0.25">
      <c r="C54">
        <f>S</f>
        <v>10823</v>
      </c>
      <c r="D54">
        <f t="shared" si="3"/>
        <v>0</v>
      </c>
    </row>
    <row r="55" spans="3:4" x14ac:dyDescent="0.25">
      <c r="C55">
        <f>S</f>
        <v>10823</v>
      </c>
      <c r="D55">
        <f t="shared" si="3"/>
        <v>0</v>
      </c>
    </row>
    <row r="56" spans="3:4" x14ac:dyDescent="0.25">
      <c r="C56">
        <f>S</f>
        <v>10823</v>
      </c>
      <c r="D56">
        <f t="shared" si="3"/>
        <v>0</v>
      </c>
    </row>
    <row r="57" spans="3:4" x14ac:dyDescent="0.25">
      <c r="C57">
        <f>S</f>
        <v>10823</v>
      </c>
      <c r="D57">
        <f t="shared" si="3"/>
        <v>0</v>
      </c>
    </row>
    <row r="58" spans="3:4" x14ac:dyDescent="0.25">
      <c r="C58">
        <f>S</f>
        <v>10823</v>
      </c>
      <c r="D58">
        <f t="shared" si="3"/>
        <v>0</v>
      </c>
    </row>
    <row r="59" spans="3:4" x14ac:dyDescent="0.25">
      <c r="C59">
        <f>S</f>
        <v>10823</v>
      </c>
      <c r="D59">
        <f t="shared" si="3"/>
        <v>0</v>
      </c>
    </row>
    <row r="60" spans="3:4" x14ac:dyDescent="0.25">
      <c r="C60">
        <f>S</f>
        <v>10823</v>
      </c>
      <c r="D60">
        <f t="shared" si="3"/>
        <v>0</v>
      </c>
    </row>
    <row r="61" spans="3:4" x14ac:dyDescent="0.25">
      <c r="C61">
        <f>S</f>
        <v>10823</v>
      </c>
      <c r="D61">
        <f t="shared" si="3"/>
        <v>0</v>
      </c>
    </row>
    <row r="62" spans="3:4" x14ac:dyDescent="0.25">
      <c r="C62">
        <f>S</f>
        <v>10823</v>
      </c>
      <c r="D62">
        <f t="shared" si="3"/>
        <v>0</v>
      </c>
    </row>
    <row r="63" spans="3:4" x14ac:dyDescent="0.25">
      <c r="C63">
        <f>S</f>
        <v>10823</v>
      </c>
      <c r="D63">
        <f t="shared" si="3"/>
        <v>0</v>
      </c>
    </row>
    <row r="64" spans="3:4" x14ac:dyDescent="0.25">
      <c r="C64">
        <f>S</f>
        <v>10823</v>
      </c>
      <c r="D64">
        <f t="shared" si="3"/>
        <v>0</v>
      </c>
    </row>
    <row r="65" spans="3:4" x14ac:dyDescent="0.25">
      <c r="C65">
        <f>S</f>
        <v>10823</v>
      </c>
      <c r="D65">
        <f t="shared" si="3"/>
        <v>0</v>
      </c>
    </row>
    <row r="66" spans="3:4" x14ac:dyDescent="0.25">
      <c r="C66">
        <f>S</f>
        <v>10823</v>
      </c>
      <c r="D66">
        <f t="shared" si="3"/>
        <v>0</v>
      </c>
    </row>
    <row r="67" spans="3:4" x14ac:dyDescent="0.25">
      <c r="C67">
        <f>S</f>
        <v>10823</v>
      </c>
      <c r="D67">
        <f t="shared" si="3"/>
        <v>0</v>
      </c>
    </row>
    <row r="68" spans="3:4" x14ac:dyDescent="0.25">
      <c r="C68">
        <f>S</f>
        <v>10823</v>
      </c>
      <c r="D68">
        <f t="shared" si="3"/>
        <v>0</v>
      </c>
    </row>
    <row r="69" spans="3:4" x14ac:dyDescent="0.25">
      <c r="C69">
        <f>S</f>
        <v>10823</v>
      </c>
      <c r="D69">
        <f t="shared" si="3"/>
        <v>0</v>
      </c>
    </row>
    <row r="70" spans="3:4" x14ac:dyDescent="0.25">
      <c r="C70">
        <f>S</f>
        <v>10823</v>
      </c>
      <c r="D70">
        <f t="shared" si="3"/>
        <v>0</v>
      </c>
    </row>
    <row r="71" spans="3:4" x14ac:dyDescent="0.25">
      <c r="C71">
        <f>S</f>
        <v>10823</v>
      </c>
      <c r="D71">
        <f t="shared" si="3"/>
        <v>0</v>
      </c>
    </row>
    <row r="72" spans="3:4" x14ac:dyDescent="0.25">
      <c r="C72">
        <f>S</f>
        <v>10823</v>
      </c>
      <c r="D72">
        <f t="shared" si="3"/>
        <v>0</v>
      </c>
    </row>
    <row r="73" spans="3:4" x14ac:dyDescent="0.25">
      <c r="C73">
        <f>S</f>
        <v>10823</v>
      </c>
      <c r="D73">
        <f t="shared" si="3"/>
        <v>0</v>
      </c>
    </row>
    <row r="74" spans="3:4" x14ac:dyDescent="0.25">
      <c r="C74">
        <f>S</f>
        <v>10823</v>
      </c>
      <c r="D74">
        <f t="shared" si="3"/>
        <v>0</v>
      </c>
    </row>
    <row r="75" spans="3:4" x14ac:dyDescent="0.25">
      <c r="C75">
        <f>S</f>
        <v>10823</v>
      </c>
      <c r="D75">
        <f t="shared" si="3"/>
        <v>0</v>
      </c>
    </row>
    <row r="76" spans="3:4" x14ac:dyDescent="0.25">
      <c r="C76">
        <f>S</f>
        <v>10823</v>
      </c>
      <c r="D76">
        <f t="shared" si="3"/>
        <v>0</v>
      </c>
    </row>
    <row r="77" spans="3:4" x14ac:dyDescent="0.25">
      <c r="C77">
        <f>S</f>
        <v>10823</v>
      </c>
      <c r="D77">
        <f t="shared" si="3"/>
        <v>0</v>
      </c>
    </row>
    <row r="78" spans="3:4" x14ac:dyDescent="0.25">
      <c r="C78">
        <f>S</f>
        <v>10823</v>
      </c>
      <c r="D78">
        <f t="shared" si="3"/>
        <v>0</v>
      </c>
    </row>
    <row r="79" spans="3:4" x14ac:dyDescent="0.25">
      <c r="C79">
        <f>S</f>
        <v>10823</v>
      </c>
      <c r="D79">
        <f t="shared" si="3"/>
        <v>0</v>
      </c>
    </row>
    <row r="80" spans="3:4" x14ac:dyDescent="0.25">
      <c r="C80">
        <f>S</f>
        <v>10823</v>
      </c>
      <c r="D80">
        <f t="shared" si="3"/>
        <v>0</v>
      </c>
    </row>
    <row r="81" spans="3:4" x14ac:dyDescent="0.25">
      <c r="C81">
        <f>S</f>
        <v>10823</v>
      </c>
      <c r="D81">
        <f t="shared" si="3"/>
        <v>0</v>
      </c>
    </row>
    <row r="82" spans="3:4" x14ac:dyDescent="0.25">
      <c r="C82">
        <f>S</f>
        <v>10823</v>
      </c>
      <c r="D82">
        <f t="shared" si="3"/>
        <v>0</v>
      </c>
    </row>
    <row r="83" spans="3:4" x14ac:dyDescent="0.25">
      <c r="C83">
        <f>S</f>
        <v>10823</v>
      </c>
      <c r="D83">
        <f t="shared" ref="D83:D146" si="4">A83</f>
        <v>0</v>
      </c>
    </row>
    <row r="84" spans="3:4" x14ac:dyDescent="0.25">
      <c r="C84">
        <f>S</f>
        <v>10823</v>
      </c>
      <c r="D84">
        <f t="shared" si="4"/>
        <v>0</v>
      </c>
    </row>
    <row r="85" spans="3:4" x14ac:dyDescent="0.25">
      <c r="C85">
        <f>S</f>
        <v>10823</v>
      </c>
      <c r="D85">
        <f t="shared" si="4"/>
        <v>0</v>
      </c>
    </row>
    <row r="86" spans="3:4" x14ac:dyDescent="0.25">
      <c r="C86">
        <f>S</f>
        <v>10823</v>
      </c>
      <c r="D86">
        <f t="shared" si="4"/>
        <v>0</v>
      </c>
    </row>
    <row r="87" spans="3:4" x14ac:dyDescent="0.25">
      <c r="C87">
        <f>S</f>
        <v>10823</v>
      </c>
      <c r="D87">
        <f t="shared" si="4"/>
        <v>0</v>
      </c>
    </row>
    <row r="88" spans="3:4" x14ac:dyDescent="0.25">
      <c r="C88">
        <f>S</f>
        <v>10823</v>
      </c>
      <c r="D88">
        <f t="shared" si="4"/>
        <v>0</v>
      </c>
    </row>
    <row r="89" spans="3:4" x14ac:dyDescent="0.25">
      <c r="C89">
        <f>S</f>
        <v>10823</v>
      </c>
      <c r="D89">
        <f t="shared" si="4"/>
        <v>0</v>
      </c>
    </row>
    <row r="90" spans="3:4" x14ac:dyDescent="0.25">
      <c r="C90">
        <f>S</f>
        <v>10823</v>
      </c>
      <c r="D90">
        <f t="shared" si="4"/>
        <v>0</v>
      </c>
    </row>
    <row r="91" spans="3:4" x14ac:dyDescent="0.25">
      <c r="C91">
        <f>S</f>
        <v>10823</v>
      </c>
      <c r="D91">
        <f t="shared" si="4"/>
        <v>0</v>
      </c>
    </row>
    <row r="92" spans="3:4" x14ac:dyDescent="0.25">
      <c r="C92">
        <f>S</f>
        <v>10823</v>
      </c>
      <c r="D92">
        <f t="shared" si="4"/>
        <v>0</v>
      </c>
    </row>
    <row r="93" spans="3:4" x14ac:dyDescent="0.25">
      <c r="C93">
        <f>S</f>
        <v>10823</v>
      </c>
      <c r="D93">
        <f t="shared" si="4"/>
        <v>0</v>
      </c>
    </row>
    <row r="94" spans="3:4" x14ac:dyDescent="0.25">
      <c r="C94">
        <f>S</f>
        <v>10823</v>
      </c>
      <c r="D94">
        <f t="shared" si="4"/>
        <v>0</v>
      </c>
    </row>
    <row r="95" spans="3:4" x14ac:dyDescent="0.25">
      <c r="C95">
        <f>S</f>
        <v>10823</v>
      </c>
      <c r="D95">
        <f t="shared" si="4"/>
        <v>0</v>
      </c>
    </row>
    <row r="96" spans="3:4" x14ac:dyDescent="0.25">
      <c r="C96">
        <f>S</f>
        <v>10823</v>
      </c>
      <c r="D96">
        <f t="shared" si="4"/>
        <v>0</v>
      </c>
    </row>
    <row r="97" spans="3:4" x14ac:dyDescent="0.25">
      <c r="C97">
        <f>S</f>
        <v>10823</v>
      </c>
      <c r="D97">
        <f t="shared" si="4"/>
        <v>0</v>
      </c>
    </row>
    <row r="98" spans="3:4" x14ac:dyDescent="0.25">
      <c r="C98">
        <f>S</f>
        <v>10823</v>
      </c>
      <c r="D98">
        <f t="shared" si="4"/>
        <v>0</v>
      </c>
    </row>
    <row r="99" spans="3:4" x14ac:dyDescent="0.25">
      <c r="C99">
        <f>S</f>
        <v>10823</v>
      </c>
      <c r="D99">
        <f t="shared" si="4"/>
        <v>0</v>
      </c>
    </row>
    <row r="100" spans="3:4" x14ac:dyDescent="0.25">
      <c r="C100">
        <f>S</f>
        <v>10823</v>
      </c>
      <c r="D100">
        <f t="shared" si="4"/>
        <v>0</v>
      </c>
    </row>
    <row r="101" spans="3:4" x14ac:dyDescent="0.25">
      <c r="C101">
        <f>S</f>
        <v>10823</v>
      </c>
      <c r="D101">
        <f t="shared" si="4"/>
        <v>0</v>
      </c>
    </row>
    <row r="102" spans="3:4" x14ac:dyDescent="0.25">
      <c r="C102">
        <f>S</f>
        <v>10823</v>
      </c>
      <c r="D102">
        <f t="shared" si="4"/>
        <v>0</v>
      </c>
    </row>
    <row r="103" spans="3:4" x14ac:dyDescent="0.25">
      <c r="C103">
        <f>S</f>
        <v>10823</v>
      </c>
      <c r="D103">
        <f t="shared" si="4"/>
        <v>0</v>
      </c>
    </row>
    <row r="104" spans="3:4" x14ac:dyDescent="0.25">
      <c r="C104">
        <f>S</f>
        <v>10823</v>
      </c>
      <c r="D104">
        <f t="shared" si="4"/>
        <v>0</v>
      </c>
    </row>
    <row r="105" spans="3:4" x14ac:dyDescent="0.25">
      <c r="C105">
        <f>S</f>
        <v>10823</v>
      </c>
      <c r="D105">
        <f t="shared" si="4"/>
        <v>0</v>
      </c>
    </row>
    <row r="106" spans="3:4" x14ac:dyDescent="0.25">
      <c r="C106">
        <f>S</f>
        <v>10823</v>
      </c>
      <c r="D106">
        <f t="shared" si="4"/>
        <v>0</v>
      </c>
    </row>
    <row r="107" spans="3:4" x14ac:dyDescent="0.25">
      <c r="C107">
        <f>S</f>
        <v>10823</v>
      </c>
      <c r="D107">
        <f t="shared" si="4"/>
        <v>0</v>
      </c>
    </row>
    <row r="108" spans="3:4" x14ac:dyDescent="0.25">
      <c r="C108">
        <f>S</f>
        <v>10823</v>
      </c>
      <c r="D108">
        <f t="shared" si="4"/>
        <v>0</v>
      </c>
    </row>
    <row r="109" spans="3:4" x14ac:dyDescent="0.25">
      <c r="C109">
        <f>S</f>
        <v>10823</v>
      </c>
      <c r="D109">
        <f t="shared" si="4"/>
        <v>0</v>
      </c>
    </row>
    <row r="110" spans="3:4" x14ac:dyDescent="0.25">
      <c r="C110">
        <f>S</f>
        <v>10823</v>
      </c>
      <c r="D110">
        <f t="shared" si="4"/>
        <v>0</v>
      </c>
    </row>
    <row r="111" spans="3:4" x14ac:dyDescent="0.25">
      <c r="C111">
        <f>S</f>
        <v>10823</v>
      </c>
      <c r="D111">
        <f t="shared" si="4"/>
        <v>0</v>
      </c>
    </row>
    <row r="112" spans="3:4" x14ac:dyDescent="0.25">
      <c r="C112">
        <f>S</f>
        <v>10823</v>
      </c>
      <c r="D112">
        <f t="shared" si="4"/>
        <v>0</v>
      </c>
    </row>
    <row r="113" spans="3:4" x14ac:dyDescent="0.25">
      <c r="C113">
        <f>S</f>
        <v>10823</v>
      </c>
      <c r="D113">
        <f t="shared" si="4"/>
        <v>0</v>
      </c>
    </row>
    <row r="114" spans="3:4" x14ac:dyDescent="0.25">
      <c r="C114">
        <f>S</f>
        <v>10823</v>
      </c>
      <c r="D114">
        <f t="shared" si="4"/>
        <v>0</v>
      </c>
    </row>
    <row r="115" spans="3:4" x14ac:dyDescent="0.25">
      <c r="C115">
        <f>S</f>
        <v>10823</v>
      </c>
      <c r="D115">
        <f t="shared" si="4"/>
        <v>0</v>
      </c>
    </row>
    <row r="116" spans="3:4" x14ac:dyDescent="0.25">
      <c r="C116">
        <f>S</f>
        <v>10823</v>
      </c>
      <c r="D116">
        <f t="shared" si="4"/>
        <v>0</v>
      </c>
    </row>
    <row r="117" spans="3:4" x14ac:dyDescent="0.25">
      <c r="C117">
        <f>S</f>
        <v>10823</v>
      </c>
      <c r="D117">
        <f t="shared" si="4"/>
        <v>0</v>
      </c>
    </row>
    <row r="118" spans="3:4" x14ac:dyDescent="0.25">
      <c r="C118">
        <f>S</f>
        <v>10823</v>
      </c>
      <c r="D118">
        <f t="shared" si="4"/>
        <v>0</v>
      </c>
    </row>
    <row r="119" spans="3:4" x14ac:dyDescent="0.25">
      <c r="C119">
        <f>S</f>
        <v>10823</v>
      </c>
      <c r="D119">
        <f t="shared" si="4"/>
        <v>0</v>
      </c>
    </row>
    <row r="120" spans="3:4" x14ac:dyDescent="0.25">
      <c r="C120">
        <f>S</f>
        <v>10823</v>
      </c>
      <c r="D120">
        <f t="shared" si="4"/>
        <v>0</v>
      </c>
    </row>
    <row r="121" spans="3:4" x14ac:dyDescent="0.25">
      <c r="C121">
        <f>S</f>
        <v>10823</v>
      </c>
      <c r="D121">
        <f t="shared" si="4"/>
        <v>0</v>
      </c>
    </row>
    <row r="122" spans="3:4" x14ac:dyDescent="0.25">
      <c r="C122">
        <f>S</f>
        <v>10823</v>
      </c>
      <c r="D122">
        <f t="shared" si="4"/>
        <v>0</v>
      </c>
    </row>
    <row r="123" spans="3:4" x14ac:dyDescent="0.25">
      <c r="C123">
        <f>S</f>
        <v>10823</v>
      </c>
      <c r="D123">
        <f t="shared" si="4"/>
        <v>0</v>
      </c>
    </row>
    <row r="124" spans="3:4" x14ac:dyDescent="0.25">
      <c r="C124">
        <f>S</f>
        <v>10823</v>
      </c>
      <c r="D124">
        <f t="shared" si="4"/>
        <v>0</v>
      </c>
    </row>
    <row r="125" spans="3:4" x14ac:dyDescent="0.25">
      <c r="C125">
        <f>S</f>
        <v>10823</v>
      </c>
      <c r="D125">
        <f t="shared" si="4"/>
        <v>0</v>
      </c>
    </row>
    <row r="126" spans="3:4" x14ac:dyDescent="0.25">
      <c r="C126">
        <f>S</f>
        <v>10823</v>
      </c>
      <c r="D126">
        <f t="shared" si="4"/>
        <v>0</v>
      </c>
    </row>
    <row r="127" spans="3:4" x14ac:dyDescent="0.25">
      <c r="C127">
        <f>S</f>
        <v>10823</v>
      </c>
      <c r="D127">
        <f t="shared" si="4"/>
        <v>0</v>
      </c>
    </row>
    <row r="128" spans="3:4" x14ac:dyDescent="0.25">
      <c r="C128">
        <f>S</f>
        <v>10823</v>
      </c>
      <c r="D128">
        <f t="shared" si="4"/>
        <v>0</v>
      </c>
    </row>
    <row r="129" spans="3:4" x14ac:dyDescent="0.25">
      <c r="C129">
        <f>S</f>
        <v>10823</v>
      </c>
      <c r="D129">
        <f t="shared" si="4"/>
        <v>0</v>
      </c>
    </row>
    <row r="130" spans="3:4" x14ac:dyDescent="0.25">
      <c r="C130">
        <f>S</f>
        <v>10823</v>
      </c>
      <c r="D130">
        <f t="shared" si="4"/>
        <v>0</v>
      </c>
    </row>
    <row r="131" spans="3:4" x14ac:dyDescent="0.25">
      <c r="C131">
        <f>S</f>
        <v>10823</v>
      </c>
      <c r="D131">
        <f t="shared" si="4"/>
        <v>0</v>
      </c>
    </row>
    <row r="132" spans="3:4" x14ac:dyDescent="0.25">
      <c r="C132">
        <f>S</f>
        <v>10823</v>
      </c>
      <c r="D132">
        <f t="shared" si="4"/>
        <v>0</v>
      </c>
    </row>
    <row r="133" spans="3:4" x14ac:dyDescent="0.25">
      <c r="C133">
        <f>S</f>
        <v>10823</v>
      </c>
      <c r="D133">
        <f t="shared" si="4"/>
        <v>0</v>
      </c>
    </row>
    <row r="134" spans="3:4" x14ac:dyDescent="0.25">
      <c r="C134">
        <f>S</f>
        <v>10823</v>
      </c>
      <c r="D134">
        <f t="shared" si="4"/>
        <v>0</v>
      </c>
    </row>
    <row r="135" spans="3:4" x14ac:dyDescent="0.25">
      <c r="C135">
        <f>S</f>
        <v>10823</v>
      </c>
      <c r="D135">
        <f t="shared" si="4"/>
        <v>0</v>
      </c>
    </row>
    <row r="136" spans="3:4" x14ac:dyDescent="0.25">
      <c r="C136">
        <f>S</f>
        <v>10823</v>
      </c>
      <c r="D136">
        <f t="shared" si="4"/>
        <v>0</v>
      </c>
    </row>
    <row r="137" spans="3:4" x14ac:dyDescent="0.25">
      <c r="C137">
        <f>S</f>
        <v>10823</v>
      </c>
      <c r="D137">
        <f t="shared" si="4"/>
        <v>0</v>
      </c>
    </row>
    <row r="138" spans="3:4" x14ac:dyDescent="0.25">
      <c r="C138">
        <f>S</f>
        <v>10823</v>
      </c>
      <c r="D138">
        <f t="shared" si="4"/>
        <v>0</v>
      </c>
    </row>
    <row r="139" spans="3:4" x14ac:dyDescent="0.25">
      <c r="C139">
        <f>S</f>
        <v>10823</v>
      </c>
      <c r="D139">
        <f t="shared" si="4"/>
        <v>0</v>
      </c>
    </row>
    <row r="140" spans="3:4" x14ac:dyDescent="0.25">
      <c r="C140">
        <f>S</f>
        <v>10823</v>
      </c>
      <c r="D140">
        <f t="shared" si="4"/>
        <v>0</v>
      </c>
    </row>
    <row r="141" spans="3:4" x14ac:dyDescent="0.25">
      <c r="C141">
        <f>S</f>
        <v>10823</v>
      </c>
      <c r="D141">
        <f t="shared" si="4"/>
        <v>0</v>
      </c>
    </row>
    <row r="142" spans="3:4" x14ac:dyDescent="0.25">
      <c r="C142">
        <f>S</f>
        <v>10823</v>
      </c>
      <c r="D142">
        <f t="shared" si="4"/>
        <v>0</v>
      </c>
    </row>
    <row r="143" spans="3:4" x14ac:dyDescent="0.25">
      <c r="C143">
        <f>S</f>
        <v>10823</v>
      </c>
      <c r="D143">
        <f t="shared" si="4"/>
        <v>0</v>
      </c>
    </row>
    <row r="144" spans="3:4" x14ac:dyDescent="0.25">
      <c r="C144">
        <f>S</f>
        <v>10823</v>
      </c>
      <c r="D144">
        <f t="shared" si="4"/>
        <v>0</v>
      </c>
    </row>
    <row r="145" spans="3:4" x14ac:dyDescent="0.25">
      <c r="C145">
        <f>S</f>
        <v>10823</v>
      </c>
      <c r="D145">
        <f t="shared" si="4"/>
        <v>0</v>
      </c>
    </row>
    <row r="146" spans="3:4" x14ac:dyDescent="0.25">
      <c r="C146">
        <f>S</f>
        <v>10823</v>
      </c>
      <c r="D146">
        <f t="shared" si="4"/>
        <v>0</v>
      </c>
    </row>
    <row r="147" spans="3:4" x14ac:dyDescent="0.25">
      <c r="C147">
        <f>S</f>
        <v>10823</v>
      </c>
      <c r="D147">
        <f t="shared" ref="D147:D184" si="5">A147</f>
        <v>0</v>
      </c>
    </row>
    <row r="148" spans="3:4" x14ac:dyDescent="0.25">
      <c r="C148">
        <f>S</f>
        <v>10823</v>
      </c>
      <c r="D148">
        <f t="shared" si="5"/>
        <v>0</v>
      </c>
    </row>
    <row r="149" spans="3:4" x14ac:dyDescent="0.25">
      <c r="C149">
        <f>S</f>
        <v>10823</v>
      </c>
      <c r="D149">
        <f t="shared" si="5"/>
        <v>0</v>
      </c>
    </row>
    <row r="150" spans="3:4" x14ac:dyDescent="0.25">
      <c r="C150">
        <f>S</f>
        <v>10823</v>
      </c>
      <c r="D150">
        <f t="shared" si="5"/>
        <v>0</v>
      </c>
    </row>
    <row r="151" spans="3:4" x14ac:dyDescent="0.25">
      <c r="C151">
        <f>S</f>
        <v>10823</v>
      </c>
      <c r="D151">
        <f t="shared" si="5"/>
        <v>0</v>
      </c>
    </row>
    <row r="152" spans="3:4" x14ac:dyDescent="0.25">
      <c r="C152">
        <f>S</f>
        <v>10823</v>
      </c>
      <c r="D152">
        <f t="shared" si="5"/>
        <v>0</v>
      </c>
    </row>
    <row r="153" spans="3:4" x14ac:dyDescent="0.25">
      <c r="C153">
        <f>S</f>
        <v>10823</v>
      </c>
      <c r="D153">
        <f t="shared" si="5"/>
        <v>0</v>
      </c>
    </row>
    <row r="154" spans="3:4" x14ac:dyDescent="0.25">
      <c r="C154">
        <f>S</f>
        <v>10823</v>
      </c>
      <c r="D154">
        <f t="shared" si="5"/>
        <v>0</v>
      </c>
    </row>
    <row r="155" spans="3:4" x14ac:dyDescent="0.25">
      <c r="C155">
        <f>S</f>
        <v>10823</v>
      </c>
      <c r="D155">
        <f t="shared" si="5"/>
        <v>0</v>
      </c>
    </row>
    <row r="156" spans="3:4" x14ac:dyDescent="0.25">
      <c r="C156">
        <f>S</f>
        <v>10823</v>
      </c>
      <c r="D156">
        <f t="shared" si="5"/>
        <v>0</v>
      </c>
    </row>
    <row r="157" spans="3:4" x14ac:dyDescent="0.25">
      <c r="C157">
        <f>S</f>
        <v>10823</v>
      </c>
      <c r="D157">
        <f t="shared" si="5"/>
        <v>0</v>
      </c>
    </row>
    <row r="158" spans="3:4" x14ac:dyDescent="0.25">
      <c r="C158">
        <f>S</f>
        <v>10823</v>
      </c>
      <c r="D158">
        <f t="shared" si="5"/>
        <v>0</v>
      </c>
    </row>
    <row r="159" spans="3:4" x14ac:dyDescent="0.25">
      <c r="C159">
        <f>S</f>
        <v>10823</v>
      </c>
      <c r="D159">
        <f t="shared" si="5"/>
        <v>0</v>
      </c>
    </row>
    <row r="160" spans="3:4" x14ac:dyDescent="0.25">
      <c r="C160">
        <f>S</f>
        <v>10823</v>
      </c>
      <c r="D160">
        <f t="shared" si="5"/>
        <v>0</v>
      </c>
    </row>
    <row r="161" spans="3:4" x14ac:dyDescent="0.25">
      <c r="C161">
        <f>S</f>
        <v>10823</v>
      </c>
      <c r="D161">
        <f t="shared" si="5"/>
        <v>0</v>
      </c>
    </row>
    <row r="162" spans="3:4" x14ac:dyDescent="0.25">
      <c r="C162">
        <f>S</f>
        <v>10823</v>
      </c>
      <c r="D162">
        <f t="shared" si="5"/>
        <v>0</v>
      </c>
    </row>
    <row r="163" spans="3:4" x14ac:dyDescent="0.25">
      <c r="C163">
        <f>S</f>
        <v>10823</v>
      </c>
      <c r="D163">
        <f t="shared" si="5"/>
        <v>0</v>
      </c>
    </row>
    <row r="164" spans="3:4" x14ac:dyDescent="0.25">
      <c r="C164">
        <f>S</f>
        <v>10823</v>
      </c>
      <c r="D164">
        <f t="shared" si="5"/>
        <v>0</v>
      </c>
    </row>
    <row r="165" spans="3:4" x14ac:dyDescent="0.25">
      <c r="C165">
        <f>S</f>
        <v>10823</v>
      </c>
      <c r="D165">
        <f t="shared" si="5"/>
        <v>0</v>
      </c>
    </row>
    <row r="166" spans="3:4" x14ac:dyDescent="0.25">
      <c r="C166">
        <f>S</f>
        <v>10823</v>
      </c>
      <c r="D166">
        <f t="shared" si="5"/>
        <v>0</v>
      </c>
    </row>
    <row r="167" spans="3:4" x14ac:dyDescent="0.25">
      <c r="C167">
        <f>S</f>
        <v>10823</v>
      </c>
      <c r="D167">
        <f t="shared" si="5"/>
        <v>0</v>
      </c>
    </row>
    <row r="168" spans="3:4" x14ac:dyDescent="0.25">
      <c r="C168">
        <f>S</f>
        <v>10823</v>
      </c>
      <c r="D168">
        <f t="shared" si="5"/>
        <v>0</v>
      </c>
    </row>
    <row r="169" spans="3:4" x14ac:dyDescent="0.25">
      <c r="C169">
        <f>S</f>
        <v>10823</v>
      </c>
      <c r="D169">
        <f t="shared" si="5"/>
        <v>0</v>
      </c>
    </row>
    <row r="170" spans="3:4" x14ac:dyDescent="0.25">
      <c r="C170">
        <f>S</f>
        <v>10823</v>
      </c>
      <c r="D170">
        <f t="shared" si="5"/>
        <v>0</v>
      </c>
    </row>
    <row r="171" spans="3:4" x14ac:dyDescent="0.25">
      <c r="C171">
        <f>S</f>
        <v>10823</v>
      </c>
      <c r="D171">
        <f t="shared" si="5"/>
        <v>0</v>
      </c>
    </row>
    <row r="172" spans="3:4" x14ac:dyDescent="0.25">
      <c r="C172">
        <f>S</f>
        <v>10823</v>
      </c>
      <c r="D172">
        <f t="shared" si="5"/>
        <v>0</v>
      </c>
    </row>
    <row r="173" spans="3:4" x14ac:dyDescent="0.25">
      <c r="C173">
        <f>S</f>
        <v>10823</v>
      </c>
      <c r="D173">
        <f t="shared" si="5"/>
        <v>0</v>
      </c>
    </row>
    <row r="174" spans="3:4" x14ac:dyDescent="0.25">
      <c r="C174">
        <f>S</f>
        <v>10823</v>
      </c>
      <c r="D174">
        <f t="shared" si="5"/>
        <v>0</v>
      </c>
    </row>
    <row r="175" spans="3:4" x14ac:dyDescent="0.25">
      <c r="C175">
        <f>S</f>
        <v>10823</v>
      </c>
      <c r="D175">
        <f t="shared" si="5"/>
        <v>0</v>
      </c>
    </row>
    <row r="176" spans="3:4" x14ac:dyDescent="0.25">
      <c r="C176">
        <f>S</f>
        <v>10823</v>
      </c>
      <c r="D176">
        <f t="shared" si="5"/>
        <v>0</v>
      </c>
    </row>
    <row r="177" spans="3:4" x14ac:dyDescent="0.25">
      <c r="C177">
        <f>S</f>
        <v>10823</v>
      </c>
      <c r="D177">
        <f t="shared" si="5"/>
        <v>0</v>
      </c>
    </row>
    <row r="178" spans="3:4" x14ac:dyDescent="0.25">
      <c r="C178">
        <f>S</f>
        <v>10823</v>
      </c>
      <c r="D178">
        <f t="shared" si="5"/>
        <v>0</v>
      </c>
    </row>
    <row r="179" spans="3:4" x14ac:dyDescent="0.25">
      <c r="C179">
        <f>S</f>
        <v>10823</v>
      </c>
      <c r="D179">
        <f t="shared" si="5"/>
        <v>0</v>
      </c>
    </row>
    <row r="180" spans="3:4" x14ac:dyDescent="0.25">
      <c r="C180">
        <f>S</f>
        <v>10823</v>
      </c>
      <c r="D180">
        <f t="shared" si="5"/>
        <v>0</v>
      </c>
    </row>
    <row r="181" spans="3:4" x14ac:dyDescent="0.25">
      <c r="C181">
        <f>S</f>
        <v>10823</v>
      </c>
      <c r="D181">
        <f t="shared" si="5"/>
        <v>0</v>
      </c>
    </row>
    <row r="182" spans="3:4" x14ac:dyDescent="0.25">
      <c r="C182">
        <f>S</f>
        <v>10823</v>
      </c>
      <c r="D182">
        <f t="shared" si="5"/>
        <v>0</v>
      </c>
    </row>
    <row r="183" spans="3:4" x14ac:dyDescent="0.25">
      <c r="C183">
        <f>S</f>
        <v>10823</v>
      </c>
      <c r="D183">
        <f t="shared" si="5"/>
        <v>0</v>
      </c>
    </row>
    <row r="184" spans="3:4" x14ac:dyDescent="0.25">
      <c r="C184">
        <f>S</f>
        <v>10823</v>
      </c>
      <c r="D184">
        <f t="shared" si="5"/>
        <v>0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具名範圍</vt:lpstr>
      </vt:variant>
      <vt:variant>
        <vt:i4>2</vt:i4>
      </vt:variant>
    </vt:vector>
  </HeadingPairs>
  <TitlesOfParts>
    <vt:vector size="3" baseType="lpstr">
      <vt:lpstr>工作表1</vt:lpstr>
      <vt:lpstr>S</vt:lpstr>
      <vt:lpstr>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2018-09-17T01:07:58Z</dcterms:created>
  <dcterms:modified xsi:type="dcterms:W3CDTF">2018-09-17T08:58:51Z</dcterms:modified>
</cp:coreProperties>
</file>